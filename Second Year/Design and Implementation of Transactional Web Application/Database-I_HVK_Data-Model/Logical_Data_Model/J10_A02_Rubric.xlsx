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egepheritageqcca.sharepoint.com/sites/SharePoint-ComputerScience/Shared Documents/Courses/420-J10/2025/Assignments/Assignment 2/"/>
    </mc:Choice>
  </mc:AlternateContent>
  <xr:revisionPtr revIDLastSave="132" documentId="11_5675E1464C000F1FFA4C925B697E26AFA4A10BD1" xr6:coauthVersionLast="47" xr6:coauthVersionMax="47" xr10:uidLastSave="{FE79A7DF-E3C8-4F11-8E0D-9D0EDC6B4BDE}"/>
  <bookViews>
    <workbookView xWindow="31815" yWindow="-1215" windowWidth="26685" windowHeight="15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C10" i="1"/>
  <c r="B25" i="1"/>
  <c r="C25" i="1"/>
  <c r="B27" i="1"/>
  <c r="D25" i="1" l="1"/>
  <c r="B11" i="1"/>
  <c r="B28" i="1"/>
  <c r="C30" i="1" s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tc={3A17303A-84CA-40AC-BF7A-30A301ED26E9}</author>
  </authors>
  <commentList>
    <comment ref="B30" authorId="0" shapeId="0" xr:uid="{3A17303A-84CA-40AC-BF7A-30A301ED26E9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Weighting of team vs individual</t>
      </text>
    </comment>
  </commentList>
</comments>
</file>

<file path=xl/sharedStrings.xml><?xml version="1.0" encoding="utf-8"?>
<sst xmlns="http://schemas.openxmlformats.org/spreadsheetml/2006/main" count="32" uniqueCount="30">
  <si>
    <t xml:space="preserve"> </t>
  </si>
  <si>
    <t xml:space="preserve">Total Mark </t>
  </si>
  <si>
    <t>Mark</t>
  </si>
  <si>
    <t>Out Of</t>
  </si>
  <si>
    <t>Comments</t>
  </si>
  <si>
    <t>Individual Component</t>
  </si>
  <si>
    <t>Ownership and execution (as per plan) - clear ownership and reasonable completion of tasks as per work plan</t>
  </si>
  <si>
    <t>Peer Assessment  submission - show critical thinking and professionalism</t>
  </si>
  <si>
    <t>Total</t>
  </si>
  <si>
    <t>Individual Score</t>
  </si>
  <si>
    <t>Team Component</t>
  </si>
  <si>
    <t>Initial Workplan - on time and complete</t>
  </si>
  <si>
    <t>Workplan (task breakdown, status, final hours)</t>
  </si>
  <si>
    <t>Quality of written English, Organization, handed in properly</t>
  </si>
  <si>
    <t>Team Score</t>
  </si>
  <si>
    <t>Peer assessment and contribution (from peer assessment and prof assessment)</t>
  </si>
  <si>
    <t>(Factors into your team score.  You must score over 80% on the team assessment to get 100% of the team score.  There is a penalty of 50% to your individual score for not participating in the peer evaluation process)</t>
  </si>
  <si>
    <t xml:space="preserve">Team score factor </t>
  </si>
  <si>
    <t>(what proportion of the team score you get)</t>
  </si>
  <si>
    <t>Team Score (individual component)</t>
  </si>
  <si>
    <t>Your team score</t>
  </si>
  <si>
    <t>Final Assessment Mark (Individual + Team)</t>
  </si>
  <si>
    <t>Final score is blended Team + individual</t>
  </si>
  <si>
    <t>A01 updates -all issues addressed</t>
  </si>
  <si>
    <t>Initial Attribute analysis</t>
  </si>
  <si>
    <t>Initial Logical Model</t>
  </si>
  <si>
    <t>Attribute Analysis</t>
  </si>
  <si>
    <t>Logical Model (ERDPlus file)</t>
  </si>
  <si>
    <t>Logical Model (screenshot)</t>
  </si>
  <si>
    <t>J10 Database 1 Assignment 2 - HVK Logical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</si>
</sst>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0" fillId="0" borderId="0"/>
  </cellStyleXfs>
  <cellXfs count="38">
    <xf numFmtId="0" fontId="0" fillId="0" borderId="0" xfId="0"/>
    <xf numFmtId="0" fontId="5" fillId="3" borderId="1" xfId="2" applyFont="1" applyFill="1" applyBorder="1" applyAlignment="1">
      <alignment horizontal="center" wrapText="1"/>
    </xf>
    <xf numFmtId="0" fontId="6" fillId="0" borderId="1" xfId="0" applyFont="1" applyBorder="1" applyAlignment="1">
      <alignment horizontal="right" wrapText="1"/>
    </xf>
    <xf numFmtId="2" fontId="7" fillId="0" borderId="1" xfId="1" applyNumberFormat="1" applyFont="1" applyBorder="1" applyAlignment="1" applyProtection="1">
      <alignment horizontal="center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wrapText="1"/>
    </xf>
    <xf numFmtId="164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5" fillId="0" borderId="1" xfId="2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64" fontId="6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164" fontId="7" fillId="4" borderId="1" xfId="0" applyNumberFormat="1" applyFont="1" applyFill="1" applyBorder="1"/>
    <xf numFmtId="0" fontId="8" fillId="0" borderId="0" xfId="0" applyFont="1"/>
    <xf numFmtId="0" fontId="8" fillId="0" borderId="0" xfId="0" applyFont="1" applyAlignment="1">
      <alignment wrapText="1"/>
    </xf>
    <xf numFmtId="164" fontId="7" fillId="0" borderId="1" xfId="0" applyNumberFormat="1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1" fillId="0" borderId="3" xfId="3" applyFont="1" applyBorder="1" applyAlignment="1">
      <alignment horizontal="left" wrapText="1"/>
    </xf>
    <xf numFmtId="164" fontId="7" fillId="0" borderId="1" xfId="0" applyNumberFormat="1" applyFont="1" applyBorder="1" applyAlignment="1">
      <alignment horizontal="left" vertical="center" wrapText="1" indent="2"/>
    </xf>
    <xf numFmtId="164" fontId="11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wrapText="1"/>
    </xf>
    <xf numFmtId="9" fontId="7" fillId="0" borderId="1" xfId="1" applyFont="1" applyBorder="1" applyAlignment="1">
      <alignment horizontal="center"/>
    </xf>
    <xf numFmtId="1" fontId="7" fillId="0" borderId="1" xfId="1" applyNumberFormat="1" applyFont="1" applyBorder="1" applyAlignment="1" applyProtection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/>
    </xf>
    <xf numFmtId="9" fontId="7" fillId="0" borderId="3" xfId="0" applyNumberFormat="1" applyFont="1" applyBorder="1" applyAlignment="1">
      <alignment horizontal="center"/>
    </xf>
    <xf numFmtId="0" fontId="11" fillId="0" borderId="1" xfId="3" applyFont="1" applyBorder="1" applyAlignment="1">
      <alignment horizontal="left" wrapText="1"/>
    </xf>
    <xf numFmtId="0" fontId="8" fillId="0" borderId="1" xfId="0" applyFont="1" applyBorder="1"/>
    <xf numFmtId="9" fontId="8" fillId="0" borderId="1" xfId="1" applyFont="1" applyBorder="1" applyAlignment="1">
      <alignment vertical="center"/>
    </xf>
    <xf numFmtId="10" fontId="8" fillId="0" borderId="1" xfId="0" applyNumberFormat="1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4">
    <cellStyle name="Normal" xfId="0" builtinId="0"/>
    <cellStyle name="Normal 2" xfId="3" xr:uid="{7B4A17F7-2A23-4AE4-8554-811C149C8E63}"/>
    <cellStyle name="Normal_Marks by course" xfId="2" xr:uid="{F5242D8E-EEA7-49C3-8067-67E7FCB2EF6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hard Chan" id="{9D20F1F4-78F8-49F3-9581-7AC9BF596F5A}" userId="S::rchan@cegep-heritage.qc.ca::547dae8c-4b9c-4b2e-8be3-af3fad53da3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0" dT="2025-09-19T02:26:44.56" personId="{9D20F1F4-78F8-49F3-9581-7AC9BF596F5A}" id="{3A17303A-84CA-40AC-BF7A-30A301ED26E9}">
    <text>Weighting of team vs individual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26" workbookViewId="0">
      <selection activeCell="B12" sqref="B12"/>
    </sheetView>
  </sheetViews>
  <sheetFormatPr defaultRowHeight="15.75" x14ac:dyDescent="0.25"/>
  <cols>
    <col min="1" max="1" width="84.7109375" style="15" customWidth="1"/>
    <col min="2" max="2" width="10.42578125" style="15" customWidth="1"/>
    <col min="3" max="3" width="12.7109375" style="15" customWidth="1"/>
    <col min="4" max="4" width="63" style="16" customWidth="1"/>
  </cols>
  <sheetData>
    <row r="1" spans="1:4" x14ac:dyDescent="0.25">
      <c r="A1" s="36" t="s">
        <v>29</v>
      </c>
      <c r="B1" s="36"/>
      <c r="C1" s="37"/>
      <c r="D1" s="1" t="s">
        <v>0</v>
      </c>
    </row>
    <row r="2" spans="1:4" x14ac:dyDescent="0.25">
      <c r="A2" s="2" t="s">
        <v>1</v>
      </c>
      <c r="B2" s="3"/>
      <c r="C2" s="4">
        <f>C30</f>
        <v>1</v>
      </c>
      <c r="D2" s="5"/>
    </row>
    <row r="3" spans="1:4" x14ac:dyDescent="0.25">
      <c r="A3" s="6"/>
      <c r="B3" s="7"/>
      <c r="C3" s="7"/>
      <c r="D3" s="5"/>
    </row>
    <row r="4" spans="1:4" x14ac:dyDescent="0.25">
      <c r="A4" s="6"/>
      <c r="B4" s="8" t="s">
        <v>2</v>
      </c>
      <c r="C4" s="8" t="s">
        <v>3</v>
      </c>
      <c r="D4" s="9" t="s">
        <v>4</v>
      </c>
    </row>
    <row r="5" spans="1:4" x14ac:dyDescent="0.25">
      <c r="A5" s="10" t="s">
        <v>5</v>
      </c>
      <c r="B5" s="11" t="s">
        <v>0</v>
      </c>
      <c r="C5" s="11"/>
      <c r="D5" s="12"/>
    </row>
    <row r="6" spans="1:4" x14ac:dyDescent="0.25">
      <c r="A6" s="6"/>
      <c r="B6" s="3"/>
      <c r="C6" s="7"/>
      <c r="D6" s="13"/>
    </row>
    <row r="7" spans="1:4" ht="30" x14ac:dyDescent="0.25">
      <c r="A7" s="22" t="s">
        <v>6</v>
      </c>
      <c r="B7" s="7">
        <v>5</v>
      </c>
      <c r="C7" s="7">
        <v>5</v>
      </c>
      <c r="D7" s="13"/>
    </row>
    <row r="8" spans="1:4" x14ac:dyDescent="0.25">
      <c r="A8" s="17" t="s">
        <v>7</v>
      </c>
      <c r="B8" s="7">
        <v>5</v>
      </c>
      <c r="C8" s="7">
        <v>5</v>
      </c>
      <c r="D8" s="13"/>
    </row>
    <row r="9" spans="1:4" x14ac:dyDescent="0.25">
      <c r="A9" s="17"/>
      <c r="B9" s="7"/>
      <c r="C9" s="7"/>
      <c r="D9" s="13"/>
    </row>
    <row r="10" spans="1:4" x14ac:dyDescent="0.25">
      <c r="A10" s="17" t="s">
        <v>8</v>
      </c>
      <c r="B10" s="7">
        <f>SUM(B7:B9)</f>
        <v>10</v>
      </c>
      <c r="C10" s="7">
        <f>SUM(C7:C9)</f>
        <v>10</v>
      </c>
      <c r="D10" s="13"/>
    </row>
    <row r="11" spans="1:4" x14ac:dyDescent="0.25">
      <c r="A11" s="17" t="s">
        <v>9</v>
      </c>
      <c r="B11" s="27">
        <f>B10/C10</f>
        <v>1</v>
      </c>
      <c r="C11" s="7"/>
      <c r="D11" s="13"/>
    </row>
    <row r="12" spans="1:4" x14ac:dyDescent="0.25">
      <c r="A12" s="10" t="s">
        <v>10</v>
      </c>
      <c r="B12" s="11" t="s">
        <v>0</v>
      </c>
      <c r="C12" s="11"/>
      <c r="D12" s="12"/>
    </row>
    <row r="13" spans="1:4" x14ac:dyDescent="0.25">
      <c r="A13" s="6"/>
      <c r="B13" s="3"/>
      <c r="C13" s="7"/>
      <c r="D13" s="13"/>
    </row>
    <row r="14" spans="1:4" x14ac:dyDescent="0.25">
      <c r="A14" s="17" t="s">
        <v>11</v>
      </c>
      <c r="B14" s="7">
        <v>5</v>
      </c>
      <c r="C14" s="7">
        <v>5</v>
      </c>
      <c r="D14" s="13"/>
    </row>
    <row r="15" spans="1:4" x14ac:dyDescent="0.25">
      <c r="A15" s="17" t="s">
        <v>23</v>
      </c>
      <c r="B15" s="7">
        <v>10</v>
      </c>
      <c r="C15" s="7">
        <v>10</v>
      </c>
      <c r="D15" s="13"/>
    </row>
    <row r="16" spans="1:4" x14ac:dyDescent="0.25">
      <c r="A16" s="17" t="s">
        <v>24</v>
      </c>
      <c r="B16" s="7">
        <v>5</v>
      </c>
      <c r="C16" s="7">
        <v>5</v>
      </c>
      <c r="D16" s="13"/>
    </row>
    <row r="17" spans="1:4" x14ac:dyDescent="0.25">
      <c r="A17" s="17" t="s">
        <v>25</v>
      </c>
      <c r="B17" s="7">
        <v>5</v>
      </c>
      <c r="C17" s="7">
        <v>5</v>
      </c>
      <c r="D17" s="13"/>
    </row>
    <row r="18" spans="1:4" x14ac:dyDescent="0.25">
      <c r="A18" s="17"/>
      <c r="B18" s="7"/>
      <c r="C18" s="7"/>
      <c r="D18" s="13"/>
    </row>
    <row r="19" spans="1:4" x14ac:dyDescent="0.25">
      <c r="A19" s="17" t="s">
        <v>12</v>
      </c>
      <c r="B19" s="7">
        <v>5</v>
      </c>
      <c r="C19" s="7">
        <v>5</v>
      </c>
      <c r="D19" s="13"/>
    </row>
    <row r="20" spans="1:4" x14ac:dyDescent="0.25">
      <c r="A20" s="17" t="s">
        <v>26</v>
      </c>
      <c r="B20" s="7">
        <v>10</v>
      </c>
      <c r="C20" s="7">
        <v>10</v>
      </c>
      <c r="D20" s="13"/>
    </row>
    <row r="21" spans="1:4" x14ac:dyDescent="0.25">
      <c r="A21" s="17" t="s">
        <v>27</v>
      </c>
      <c r="B21" s="7">
        <v>10</v>
      </c>
      <c r="C21" s="7">
        <v>10</v>
      </c>
      <c r="D21" s="13"/>
    </row>
    <row r="22" spans="1:4" x14ac:dyDescent="0.25">
      <c r="A22" s="17" t="s">
        <v>28</v>
      </c>
      <c r="B22" s="7">
        <v>5</v>
      </c>
      <c r="C22" s="7">
        <v>5</v>
      </c>
      <c r="D22" s="13"/>
    </row>
    <row r="23" spans="1:4" x14ac:dyDescent="0.25">
      <c r="A23" s="17" t="s">
        <v>13</v>
      </c>
      <c r="B23" s="7">
        <v>5</v>
      </c>
      <c r="C23" s="7">
        <v>5</v>
      </c>
      <c r="D23" s="13"/>
    </row>
    <row r="24" spans="1:4" x14ac:dyDescent="0.25">
      <c r="A24" s="14"/>
      <c r="B24" s="11"/>
      <c r="C24" s="11"/>
      <c r="D24" s="12"/>
    </row>
    <row r="25" spans="1:4" x14ac:dyDescent="0.25">
      <c r="A25" s="18" t="s">
        <v>14</v>
      </c>
      <c r="B25" s="7">
        <f>SUM(B14:B24)</f>
        <v>60</v>
      </c>
      <c r="C25" s="7">
        <f>SUM(C14:C24)</f>
        <v>60</v>
      </c>
      <c r="D25" s="35">
        <f>B25/C25</f>
        <v>1</v>
      </c>
    </row>
    <row r="26" spans="1:4" ht="60" x14ac:dyDescent="0.25">
      <c r="A26" s="23" t="s">
        <v>15</v>
      </c>
      <c r="B26" s="28">
        <v>8</v>
      </c>
      <c r="C26" s="24">
        <v>10</v>
      </c>
      <c r="D26" s="25" t="s">
        <v>16</v>
      </c>
    </row>
    <row r="27" spans="1:4" x14ac:dyDescent="0.25">
      <c r="A27" s="21" t="s">
        <v>17</v>
      </c>
      <c r="B27" s="31">
        <f>MIN((B26+2)/C26, 1.1)</f>
        <v>1</v>
      </c>
      <c r="C27" s="20"/>
      <c r="D27" s="26" t="s">
        <v>18</v>
      </c>
    </row>
    <row r="28" spans="1:4" x14ac:dyDescent="0.25">
      <c r="A28" s="32" t="s">
        <v>19</v>
      </c>
      <c r="B28" s="29">
        <f>B25/C25 * B27</f>
        <v>1</v>
      </c>
      <c r="C28" s="19"/>
      <c r="D28" s="5" t="s">
        <v>20</v>
      </c>
    </row>
    <row r="29" spans="1:4" x14ac:dyDescent="0.25">
      <c r="A29" s="33"/>
      <c r="B29" s="33"/>
      <c r="C29" s="33"/>
      <c r="D29" s="13"/>
    </row>
    <row r="30" spans="1:4" x14ac:dyDescent="0.25">
      <c r="A30" s="33" t="s">
        <v>21</v>
      </c>
      <c r="B30" s="34">
        <v>0.8</v>
      </c>
      <c r="C30" s="30">
        <f>B30*B28+(1-B30)*B11</f>
        <v>1</v>
      </c>
      <c r="D30" s="13" t="s">
        <v>22</v>
      </c>
    </row>
  </sheetData>
  <mergeCells count="1">
    <mergeCell ref="A1:C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3C173B3FC6904599891D47F3A4A40C" ma:contentTypeVersion="9" ma:contentTypeDescription="Create a new document." ma:contentTypeScope="" ma:versionID="a556d6324761f867bb3459c93ea426fb">
  <xsd:schema xmlns:xsd="http://www.w3.org/2001/XMLSchema" xmlns:xs="http://www.w3.org/2001/XMLSchema" xmlns:p="http://schemas.microsoft.com/office/2006/metadata/properties" xmlns:ns2="4393a84f-cf50-4a1b-9d64-2a23146ffdce" targetNamespace="http://schemas.microsoft.com/office/2006/metadata/properties" ma:root="true" ma:fieldsID="ae75bc3911701350d22cdbb180a42083" ns2:_="">
    <xsd:import namespace="4393a84f-cf50-4a1b-9d64-2a23146ff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3a84f-cf50-4a1b-9d64-2a23146ff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e912d4b-de81-4840-8b6d-1f506001eb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93a84f-cf50-4a1b-9d64-2a23146ffdc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C8B768-2FF2-44ED-A0C0-74691E90BEAE}"/>
</file>

<file path=customXml/itemProps2.xml><?xml version="1.0" encoding="utf-8"?>
<ds:datastoreItem xmlns:ds="http://schemas.openxmlformats.org/officeDocument/2006/customXml" ds:itemID="{60E130BB-EC47-4B6E-86B5-2D75D523CCEF}">
  <ds:schemaRefs>
    <ds:schemaRef ds:uri="http://schemas.microsoft.com/office/2006/metadata/properties"/>
    <ds:schemaRef ds:uri="http://schemas.microsoft.com/office/infopath/2007/PartnerControls"/>
    <ds:schemaRef ds:uri="98e57793-e4b2-47f7-877f-ea6d29fae10c"/>
  </ds:schemaRefs>
</ds:datastoreItem>
</file>

<file path=customXml/itemProps3.xml><?xml version="1.0" encoding="utf-8"?>
<ds:datastoreItem xmlns:ds="http://schemas.openxmlformats.org/officeDocument/2006/customXml" ds:itemID="{CB62D6CA-D5BD-467F-BA06-4D758B8138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Chan</dc:creator>
  <cp:keywords/>
  <dc:description/>
  <cp:lastModifiedBy>Richard Chan</cp:lastModifiedBy>
  <cp:revision/>
  <dcterms:created xsi:type="dcterms:W3CDTF">2015-06-05T18:17:20Z</dcterms:created>
  <dcterms:modified xsi:type="dcterms:W3CDTF">2025-09-24T16:32:16Z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0x010100AB3C173B3FC6904599891D47F3A4A40C</vt:lpwstr>
  </property>
  <property fmtid="{D5CDD505-2E9C-101B-9397-08002B2CF9AE}" pid="3" name="MediaServiceImageTags">
    <vt:lpwstr/>
  </property>
</Properties>
</file>